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benga\Desktop\Seplat OIl&amp;Gas\"/>
    </mc:Choice>
  </mc:AlternateContent>
  <xr:revisionPtr revIDLastSave="0" documentId="13_ncr:1_{640B264C-0F9D-48DB-8C24-BF2D95A79288}" xr6:coauthVersionLast="47" xr6:coauthVersionMax="47" xr10:uidLastSave="{00000000-0000-0000-0000-000000000000}"/>
  <bookViews>
    <workbookView xWindow="276" yWindow="492" windowWidth="11916" windowHeight="12408" activeTab="1" xr2:uid="{1D0EFD27-4497-4BB9-8A8E-AB431B55E483}"/>
  </bookViews>
  <sheets>
    <sheet name="Raw_Data" sheetId="1" r:id="rId1"/>
    <sheet name="Cost_Breakdown" sheetId="2" r:id="rId2"/>
    <sheet name="Sensitivity_Model" sheetId="3" r:id="rId3"/>
  </sheets>
  <definedNames>
    <definedName name="_xlchart.v1.0" hidden="1">Cost_Breakdown!$F$2:$F$12</definedName>
    <definedName name="_xlchart.v1.1" hidden="1">Cost_Breakdown!$G$1</definedName>
    <definedName name="_xlchart.v1.2" hidden="1">Cost_Breakdown!$G$2:$G$12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C16" i="2"/>
  <c r="B16" i="2"/>
  <c r="C28" i="3"/>
  <c r="D28" i="3"/>
  <c r="E28" i="3"/>
  <c r="F28" i="3"/>
  <c r="G28" i="3"/>
  <c r="H28" i="3"/>
  <c r="C27" i="3"/>
  <c r="D27" i="3"/>
  <c r="E27" i="3"/>
  <c r="F27" i="3"/>
  <c r="G27" i="3"/>
  <c r="H27" i="3"/>
  <c r="C26" i="3"/>
  <c r="D26" i="3"/>
  <c r="E26" i="3"/>
  <c r="F26" i="3"/>
  <c r="G26" i="3"/>
  <c r="H26" i="3"/>
  <c r="C25" i="3"/>
  <c r="D25" i="3"/>
  <c r="E25" i="3"/>
  <c r="F25" i="3"/>
  <c r="G25" i="3"/>
  <c r="H25" i="3"/>
  <c r="C24" i="3"/>
  <c r="D24" i="3"/>
  <c r="E24" i="3"/>
  <c r="F24" i="3"/>
  <c r="G24" i="3"/>
  <c r="H24" i="3"/>
  <c r="C23" i="3"/>
  <c r="D23" i="3"/>
  <c r="E23" i="3"/>
  <c r="F23" i="3"/>
  <c r="G23" i="3"/>
  <c r="H23" i="3"/>
  <c r="C22" i="3"/>
  <c r="D22" i="3"/>
  <c r="E22" i="3"/>
  <c r="F22" i="3"/>
  <c r="G22" i="3"/>
  <c r="H22" i="3"/>
  <c r="C21" i="3"/>
  <c r="D21" i="3"/>
  <c r="E21" i="3"/>
  <c r="F21" i="3"/>
  <c r="G21" i="3"/>
  <c r="H21" i="3"/>
  <c r="C20" i="3"/>
  <c r="D20" i="3"/>
  <c r="E20" i="3"/>
  <c r="F20" i="3"/>
  <c r="G20" i="3"/>
  <c r="H20" i="3"/>
  <c r="C19" i="3"/>
  <c r="D19" i="3"/>
  <c r="E19" i="3"/>
  <c r="F19" i="3"/>
  <c r="G19" i="3"/>
  <c r="H19" i="3"/>
  <c r="C18" i="3"/>
  <c r="D18" i="3"/>
  <c r="E18" i="3"/>
  <c r="F18" i="3"/>
  <c r="G18" i="3"/>
  <c r="H18" i="3"/>
  <c r="C17" i="3"/>
  <c r="D17" i="3"/>
  <c r="E17" i="3"/>
  <c r="F17" i="3"/>
  <c r="G17" i="3"/>
  <c r="H17" i="3"/>
  <c r="C16" i="3"/>
  <c r="D16" i="3"/>
  <c r="E16" i="3"/>
  <c r="F16" i="3"/>
  <c r="G16" i="3"/>
  <c r="H16" i="3"/>
  <c r="B17" i="3"/>
  <c r="B18" i="3"/>
  <c r="F6" i="1"/>
  <c r="B12" i="3"/>
  <c r="B25" i="3"/>
  <c r="B24" i="3"/>
  <c r="B23" i="3"/>
  <c r="B22" i="3"/>
  <c r="B21" i="3"/>
  <c r="B20" i="3"/>
  <c r="B16" i="3"/>
  <c r="B11" i="3"/>
  <c r="B10" i="3"/>
  <c r="B9" i="3"/>
  <c r="B8" i="3"/>
  <c r="B7" i="3"/>
  <c r="B6" i="3"/>
  <c r="B5" i="3"/>
  <c r="B4" i="3"/>
  <c r="B3" i="3"/>
  <c r="B2" i="3"/>
  <c r="C10" i="2"/>
  <c r="D10" i="2" s="1"/>
  <c r="G9" i="2" s="1"/>
  <c r="G12" i="2"/>
  <c r="G11" i="2"/>
  <c r="G10" i="2"/>
  <c r="G8" i="2"/>
  <c r="G7" i="2"/>
  <c r="G6" i="2"/>
  <c r="G5" i="2"/>
  <c r="G4" i="2"/>
  <c r="G3" i="2"/>
  <c r="G2" i="2"/>
  <c r="C21" i="2"/>
  <c r="B21" i="2"/>
  <c r="B11" i="2"/>
  <c r="D11" i="2" s="1"/>
  <c r="D3" i="2"/>
  <c r="D12" i="2"/>
  <c r="D2" i="2"/>
  <c r="C12" i="2"/>
  <c r="C11" i="2"/>
  <c r="C15" i="2"/>
  <c r="D15" i="2" s="1"/>
  <c r="C14" i="2"/>
  <c r="D14" i="2" s="1"/>
  <c r="C9" i="2"/>
  <c r="D9" i="2" s="1"/>
  <c r="C8" i="2"/>
  <c r="D8" i="2" s="1"/>
  <c r="C6" i="2"/>
  <c r="D6" i="2" s="1"/>
  <c r="C5" i="2"/>
  <c r="D5" i="2" s="1"/>
  <c r="C4" i="2"/>
  <c r="D4" i="2" s="1"/>
  <c r="C3" i="2"/>
  <c r="C2" i="2"/>
  <c r="B2" i="2"/>
  <c r="B15" i="2"/>
  <c r="B14" i="2"/>
  <c r="B12" i="2"/>
  <c r="B10" i="2"/>
  <c r="B9" i="2"/>
  <c r="B8" i="2"/>
  <c r="B6" i="2"/>
  <c r="B5" i="2"/>
  <c r="B4" i="2"/>
  <c r="B3" i="2"/>
  <c r="B31" i="1"/>
  <c r="C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C7" i="2" s="1"/>
  <c r="B24" i="1"/>
  <c r="B7" i="2" s="1"/>
  <c r="D7" i="2" l="1"/>
  <c r="C13" i="2"/>
  <c r="B13" i="2"/>
  <c r="B19" i="3" l="1"/>
  <c r="B26" i="3" s="1"/>
  <c r="D13" i="2"/>
  <c r="B27" i="3" l="1"/>
  <c r="B2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Oluwagbemiga</author>
  </authors>
  <commentList>
    <comment ref="B31" authorId="0" shapeId="0" xr:uid="{CBBEB305-E25C-4B0D-A705-BDFBF66AF323}">
      <text>
        <r>
          <rPr>
            <b/>
            <sz val="9"/>
            <color indexed="81"/>
            <rFont val="Tahoma"/>
            <family val="2"/>
          </rPr>
          <t>Oluwagbemiga:</t>
        </r>
        <r>
          <rPr>
            <sz val="9"/>
            <color indexed="81"/>
            <rFont val="Tahoma"/>
            <family val="2"/>
          </rPr>
          <t xml:space="preserve">
Variance vs company reported unit costs due to rounding in published boepd figures. Formula methodology is correct</t>
        </r>
      </text>
    </comment>
    <comment ref="C31" authorId="0" shapeId="0" xr:uid="{B622C818-56D7-4B3E-BB56-84F9CFC10612}">
      <text>
        <r>
          <rPr>
            <b/>
            <sz val="9"/>
            <color indexed="81"/>
            <rFont val="Tahoma"/>
            <family val="2"/>
          </rPr>
          <t>Oluwagbemiga:</t>
        </r>
        <r>
          <rPr>
            <sz val="9"/>
            <color indexed="81"/>
            <rFont val="Tahoma"/>
            <family val="2"/>
          </rPr>
          <t xml:space="preserve">
Variance vs company reported unit costs due to rounding in published boepd figures. 
Formula methodology is correct</t>
        </r>
      </text>
    </comment>
  </commentList>
</comments>
</file>

<file path=xl/sharedStrings.xml><?xml version="1.0" encoding="utf-8"?>
<sst xmlns="http://schemas.openxmlformats.org/spreadsheetml/2006/main" count="101" uniqueCount="78">
  <si>
    <t xml:space="preserve">Metric </t>
  </si>
  <si>
    <t>Revenue</t>
  </si>
  <si>
    <t>Production Costs (O&amp;M + Handling)</t>
  </si>
  <si>
    <t>Royalties</t>
  </si>
  <si>
    <t>DD&amp;A (Depreciation)</t>
  </si>
  <si>
    <t>Regulatory Fees</t>
  </si>
  <si>
    <t>G&amp;A Expenses</t>
  </si>
  <si>
    <t>Impairment + Fair Value Loss</t>
  </si>
  <si>
    <t>Other Income</t>
  </si>
  <si>
    <t>Net Finance Costs</t>
  </si>
  <si>
    <t>Income Tax Expense</t>
  </si>
  <si>
    <t>Net Income</t>
  </si>
  <si>
    <t>FY 2024 ($M)</t>
  </si>
  <si>
    <t>FY 2025 ($M)</t>
  </si>
  <si>
    <t>Production Metric</t>
  </si>
  <si>
    <t>Total Production (boepd)</t>
  </si>
  <si>
    <t>Oil Volumes Lifted (Mbbls)</t>
  </si>
  <si>
    <t>Gas Volumes (Bscf)</t>
  </si>
  <si>
    <t>Average Realised Oil Price ($/bbl)</t>
  </si>
  <si>
    <t>Average Realised Gas Price ($/Mscf)</t>
  </si>
  <si>
    <t>Unit Production Cost ($/boe)</t>
  </si>
  <si>
    <t>Ratio</t>
  </si>
  <si>
    <t>Gross Profit</t>
  </si>
  <si>
    <t>Gross Margin %</t>
  </si>
  <si>
    <t>EBITDA</t>
  </si>
  <si>
    <t>EBITDA Margin %</t>
  </si>
  <si>
    <t>Net Income Margin %</t>
  </si>
  <si>
    <t>Effective Tax Rate %</t>
  </si>
  <si>
    <t>Revenue per boe ($)</t>
  </si>
  <si>
    <t>Cost of Sales per boe ($)</t>
  </si>
  <si>
    <t>Item</t>
  </si>
  <si>
    <t>FY 2024 $M</t>
  </si>
  <si>
    <t>FY 2025 $M</t>
  </si>
  <si>
    <t>Change $M</t>
  </si>
  <si>
    <t>Production Costs</t>
  </si>
  <si>
    <t>DD &amp; A</t>
  </si>
  <si>
    <t>G &amp; A Expenses</t>
  </si>
  <si>
    <t>Impairment + Fair Value</t>
  </si>
  <si>
    <t>Operating Profit</t>
  </si>
  <si>
    <t>Profit Before Tax</t>
  </si>
  <si>
    <t>Income Tax</t>
  </si>
  <si>
    <t>Other Financial Income</t>
  </si>
  <si>
    <t>Operational Margin %</t>
  </si>
  <si>
    <t>Revenue Increase</t>
  </si>
  <si>
    <t>Production increase</t>
  </si>
  <si>
    <t>Net Income Change</t>
  </si>
  <si>
    <t>Input</t>
  </si>
  <si>
    <t>Value</t>
  </si>
  <si>
    <t>FY 2025 Oil Volumes Lifted (Mbbls)</t>
  </si>
  <si>
    <t>FY 2025 Gas Revenue ($M)</t>
  </si>
  <si>
    <t>Royalty Rate (% of Revenue)</t>
  </si>
  <si>
    <t>Fixed Production Costs ($M)</t>
  </si>
  <si>
    <t>Fixed DD&amp;A ($M)</t>
  </si>
  <si>
    <t>Fixed Regualatory Fees ($M)</t>
  </si>
  <si>
    <t>Fixed G &amp; A ($M)</t>
  </si>
  <si>
    <t>Fixed Other Income ($M)</t>
  </si>
  <si>
    <t>Fixed Net Finance Costs ($M)</t>
  </si>
  <si>
    <t>Effective Tax Rate (%)</t>
  </si>
  <si>
    <t>Oil Price Scenario</t>
  </si>
  <si>
    <t>Oil Revenue ($M)</t>
  </si>
  <si>
    <t>Gas Revenue ($M)</t>
  </si>
  <si>
    <t>Total Revenue ($M)</t>
  </si>
  <si>
    <t>Royalties ($M)</t>
  </si>
  <si>
    <t>Production Costs ($M)</t>
  </si>
  <si>
    <t>DD&amp; A ($M)</t>
  </si>
  <si>
    <t>Regulatory Fees ($M)</t>
  </si>
  <si>
    <t>G&amp;A ($M)</t>
  </si>
  <si>
    <t>Other Income ($M)</t>
  </si>
  <si>
    <t>Net Finance Costs ($M)</t>
  </si>
  <si>
    <t>Profit Before Tax ($M)</t>
  </si>
  <si>
    <t>Tax ($M)</t>
  </si>
  <si>
    <t>Net Income ($M)</t>
  </si>
  <si>
    <t>NGL Revenue</t>
  </si>
  <si>
    <t>Fixed NGL Revenue ($M)</t>
  </si>
  <si>
    <t>Model's calculated Profit Before Tax at actual FY2025 oil price ($70.29) is $535.2M vs. actual reported $497.8M (variance: $37.4M / 7.5%). Variance attributable to additional non-operating/financing items in Seplat's accounts not separately captured in this model. Model methodology and directional sensitivity (i.e., how Net Income responds to oil price changes) remain valid; absolute dollar values carry an approximate 7% uncertainty band.Sensitivity outputs below should be read as directional indicators of profit exposure to oil price movements, not as precise point forecasts.</t>
  </si>
  <si>
    <t>The Break  even point</t>
  </si>
  <si>
    <t>T</t>
  </si>
  <si>
    <t>The approx. Break even point is $49.80M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</si>
</sst>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0.0%"/>
    <numFmt numFmtId="166" formatCode="#,##0.0"/>
    <numFmt numFmtId="167" formatCode="_(&quot;$&quot;* #,##0.0_);_(&quot;$&quot;* \(#,##0.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3" tint="0.499984740745262"/>
      <name val="Aptos Narrow"/>
      <family val="2"/>
      <scheme val="minor"/>
    </font>
    <font>
      <sz val="14"/>
      <color theme="0" tint="-4.9989318521683403E-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0" fillId="0" borderId="0" xfId="0" applyNumberFormat="1"/>
    <xf numFmtId="165" fontId="0" fillId="0" borderId="0" xfId="1" applyNumberFormat="1" applyFont="1"/>
    <xf numFmtId="0" fontId="5" fillId="0" borderId="0" xfId="0" applyFont="1"/>
    <xf numFmtId="0" fontId="0" fillId="5" borderId="0" xfId="0" applyFill="1"/>
    <xf numFmtId="6" fontId="0" fillId="0" borderId="0" xfId="0" applyNumberFormat="1"/>
    <xf numFmtId="8" fontId="0" fillId="0" borderId="0" xfId="0" applyNumberFormat="1"/>
    <xf numFmtId="0" fontId="6" fillId="6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166" fontId="0" fillId="0" borderId="0" xfId="0" applyNumberFormat="1"/>
    <xf numFmtId="44" fontId="0" fillId="0" borderId="0" xfId="2" applyFont="1"/>
    <xf numFmtId="167" fontId="0" fillId="0" borderId="0" xfId="2" applyNumberFormat="1" applyFont="1"/>
    <xf numFmtId="0" fontId="7" fillId="0" borderId="0" xfId="0" applyFont="1"/>
    <xf numFmtId="166" fontId="8" fillId="0" borderId="0" xfId="0" applyNumberFormat="1" applyFont="1"/>
    <xf numFmtId="0" fontId="9" fillId="0" borderId="0" xfId="0" applyFont="1"/>
    <xf numFmtId="0" fontId="8" fillId="0" borderId="0" xfId="0" applyFont="1" applyAlignment="1">
      <alignment wrapText="1"/>
    </xf>
    <xf numFmtId="0" fontId="2" fillId="7" borderId="0" xfId="0" applyFont="1" applyFill="1" applyAlignment="1">
      <alignment wrapText="1"/>
    </xf>
    <xf numFmtId="8" fontId="10" fillId="7" borderId="0" xfId="0" applyNumberFormat="1" applyFont="1" applyFill="1"/>
    <xf numFmtId="0" fontId="2" fillId="8" borderId="0" xfId="0" applyFont="1" applyFill="1"/>
  </cellXfs>
  <cellStyles count="3">
    <cellStyle name="Currency" xfId="2" builtinId="4"/>
    <cellStyle name="Normal" xfId="0" builtinId="0"/>
    <cellStyle name="Percent" xfId="1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Seplat Energy: How $1.6B New Revenue Became $18.6M Net Income Change (FY2024 vs FY2025)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chemeClr val="bg1">
                  <a:lumMod val="75000"/>
                </a:schemeClr>
              </a:solidFill>
              <a:latin typeface="Aptos Narrow" panose="02110004020202020204"/>
            </a:rPr>
            <a:t>Seplat Energy: How $1.6B New Revenue Became $18.6M Net Income Change (FY2024 vs FY2025)</a:t>
          </a:r>
        </a:p>
      </cx:txPr>
    </cx:title>
    <cx:plotArea>
      <cx:plotAreaRegion>
        <cx:series layoutId="waterfall" uniqueId="{DB38AE1A-19DC-481E-95B0-2618A06FE14A}">
          <cx:tx>
            <cx:txData>
              <cx:f>_xlchart.v1.1</cx:f>
              <cx:v>Change $M</cx:v>
            </cx:txData>
          </cx:tx>
          <cx:dataPt idx="1">
            <cx:spPr>
              <a:solidFill>
                <a:srgbClr val="FF0000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FF0000"/>
              </a:solidFill>
            </cx:spPr>
          </cx:dataPt>
          <cx:dataPt idx="4">
            <cx:spPr>
              <a:solidFill>
                <a:srgbClr val="FF0000"/>
              </a:solidFill>
            </cx:spPr>
          </cx:dataPt>
          <cx:dataPt idx="5">
            <cx:spPr>
              <a:solidFill>
                <a:srgbClr val="FF0000"/>
              </a:solidFill>
            </cx:spPr>
          </cx:dataPt>
          <cx:dataPt idx="6">
            <cx:spPr>
              <a:solidFill>
                <a:srgbClr val="196B24">
                  <a:lumMod val="20000"/>
                  <a:lumOff val="80000"/>
                </a:srgbClr>
              </a:solidFill>
            </cx:spPr>
          </cx:dataPt>
          <cx:dataPt idx="7">
            <cx:spPr>
              <a:solidFill>
                <a:srgbClr val="196B24">
                  <a:lumMod val="20000"/>
                  <a:lumOff val="80000"/>
                </a:srgbClr>
              </a:solidFill>
            </cx:spPr>
          </cx:dataPt>
          <cx:dataPt idx="8">
            <cx:spPr>
              <a:solidFill>
                <a:srgbClr val="196B24">
                  <a:lumMod val="20000"/>
                  <a:lumOff val="80000"/>
                </a:srgbClr>
              </a:solidFill>
            </cx:spPr>
          </cx:dataPt>
          <cx:dataPt idx="9">
            <cx:spPr>
              <a:solidFill>
                <a:srgbClr val="196B24">
                  <a:lumMod val="20000"/>
                  <a:lumOff val="80000"/>
                </a:srgbClr>
              </a:solidFill>
            </cx:spPr>
          </cx:dataPt>
          <cx:dataPt idx="10">
            <cx:spPr>
              <a:solidFill>
                <a:srgbClr val="0E2841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bg1">
                        <a:lumMod val="95000"/>
                      </a:schemeClr>
                    </a:solidFill>
                  </a:defRPr>
                </a:pPr>
                <a:endParaRPr lang="en-US" sz="900" b="1" i="0" u="none" strike="noStrike" baseline="0">
                  <a:solidFill>
                    <a:schemeClr val="bg1">
                      <a:lumMod val="95000"/>
                    </a:scheme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10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>
                    <a:lumMod val="85000"/>
                  </a:schemeClr>
                </a:solidFill>
              </a:defRPr>
            </a:pPr>
            <a:endParaRPr lang="en-US" sz="900" b="0" i="0" u="none" strike="noStrike" baseline="0">
              <a:solidFill>
                <a:schemeClr val="bg1">
                  <a:lumMod val="85000"/>
                </a:schemeClr>
              </a:solidFill>
              <a:latin typeface="Aptos Narrow" panose="02110004020202020204"/>
            </a:endParaRPr>
          </a:p>
        </cx:txPr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solidFill>
      <a:schemeClr val="tx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13</xdr:row>
      <xdr:rowOff>152400</xdr:rowOff>
    </xdr:from>
    <xdr:to>
      <xdr:col>21</xdr:col>
      <xdr:colOff>175260</xdr:colOff>
      <xdr:row>30</xdr:row>
      <xdr:rowOff>99060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0596817-9835-7EE4-0C98-CAEC21AE8AB2}"/>
            </a:ext>
          </a:extLst>
        </xdr:cNvPr>
        <xdr:cNvSpPr/>
      </xdr:nvSpPr>
      <xdr:spPr>
        <a:xfrm>
          <a:off x="6126480" y="2529840"/>
          <a:ext cx="8625840" cy="3055620"/>
        </a:xfrm>
        <a:prstGeom prst="roundRect">
          <a:avLst>
            <a:gd name="adj" fmla="val 4758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160020</xdr:colOff>
      <xdr:row>14</xdr:row>
      <xdr:rowOff>114300</xdr:rowOff>
    </xdr:from>
    <xdr:to>
      <xdr:col>20</xdr:col>
      <xdr:colOff>541020</xdr:colOff>
      <xdr:row>29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9886141-FE0D-D544-02E8-42545FC1D2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02680" y="2674620"/>
              <a:ext cx="8305800" cy="2766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16A3C-F9EA-4F59-BDC1-50220963FED5}">
  <dimension ref="A1:F31"/>
  <sheetViews>
    <sheetView workbookViewId="0">
      <selection activeCell="D10" sqref="D10"/>
    </sheetView>
  </sheetViews>
  <sheetFormatPr defaultRowHeight="14.4" x14ac:dyDescent="0.3"/>
  <cols>
    <col min="1" max="1" width="29.88671875" customWidth="1"/>
    <col min="2" max="3" width="11.6640625" customWidth="1"/>
    <col min="5" max="5" width="11.77734375" bestFit="1" customWidth="1"/>
  </cols>
  <sheetData>
    <row r="1" spans="1:6" x14ac:dyDescent="0.3">
      <c r="A1" s="2" t="s">
        <v>0</v>
      </c>
      <c r="B1" s="2" t="s">
        <v>12</v>
      </c>
      <c r="C1" s="2" t="s">
        <v>13</v>
      </c>
    </row>
    <row r="2" spans="1:6" x14ac:dyDescent="0.3">
      <c r="A2" t="s">
        <v>1</v>
      </c>
      <c r="B2">
        <v>1116.2</v>
      </c>
      <c r="C2">
        <v>2725.9</v>
      </c>
    </row>
    <row r="3" spans="1:6" x14ac:dyDescent="0.3">
      <c r="A3" t="s">
        <v>2</v>
      </c>
      <c r="B3">
        <v>412.4</v>
      </c>
      <c r="C3">
        <v>752.6</v>
      </c>
    </row>
    <row r="4" spans="1:6" x14ac:dyDescent="0.3">
      <c r="A4" t="s">
        <v>3</v>
      </c>
      <c r="B4" s="5">
        <v>146</v>
      </c>
      <c r="C4">
        <v>475.3</v>
      </c>
    </row>
    <row r="5" spans="1:6" x14ac:dyDescent="0.3">
      <c r="A5" t="s">
        <v>4</v>
      </c>
      <c r="B5">
        <v>193.8</v>
      </c>
      <c r="C5">
        <v>549.20000000000005</v>
      </c>
    </row>
    <row r="6" spans="1:6" x14ac:dyDescent="0.3">
      <c r="A6" t="s">
        <v>5</v>
      </c>
      <c r="B6">
        <v>11.6</v>
      </c>
      <c r="C6">
        <v>44.2</v>
      </c>
      <c r="E6" s="1" t="s">
        <v>72</v>
      </c>
      <c r="F6">
        <f>C2-(C17*C19)-Sensitivity_Model!B17</f>
        <v>79.34599999999989</v>
      </c>
    </row>
    <row r="7" spans="1:6" x14ac:dyDescent="0.3">
      <c r="A7" t="s">
        <v>6</v>
      </c>
      <c r="B7">
        <v>145.69999999999999</v>
      </c>
      <c r="C7">
        <v>249.5</v>
      </c>
    </row>
    <row r="8" spans="1:6" x14ac:dyDescent="0.3">
      <c r="A8" t="s">
        <v>7</v>
      </c>
      <c r="B8">
        <v>17.899999999999999</v>
      </c>
      <c r="C8">
        <v>37.299999999999997</v>
      </c>
    </row>
    <row r="9" spans="1:6" x14ac:dyDescent="0.3">
      <c r="A9" t="s">
        <v>8</v>
      </c>
      <c r="B9">
        <v>37.1</v>
      </c>
      <c r="C9">
        <v>57.5</v>
      </c>
    </row>
    <row r="10" spans="1:6" x14ac:dyDescent="0.3">
      <c r="A10" t="s">
        <v>9</v>
      </c>
      <c r="B10">
        <v>59.8</v>
      </c>
      <c r="C10">
        <v>177.4</v>
      </c>
    </row>
    <row r="11" spans="1:6" x14ac:dyDescent="0.3">
      <c r="A11" t="s">
        <v>41</v>
      </c>
      <c r="B11">
        <v>100.4</v>
      </c>
      <c r="C11">
        <v>0</v>
      </c>
    </row>
    <row r="12" spans="1:6" x14ac:dyDescent="0.3">
      <c r="A12" t="s">
        <v>10</v>
      </c>
      <c r="B12">
        <v>126.2</v>
      </c>
      <c r="C12">
        <v>338.8</v>
      </c>
    </row>
    <row r="13" spans="1:6" x14ac:dyDescent="0.3">
      <c r="A13" t="s">
        <v>11</v>
      </c>
      <c r="B13">
        <v>140.5</v>
      </c>
      <c r="C13">
        <v>159.1</v>
      </c>
    </row>
    <row r="15" spans="1:6" s="1" customFormat="1" x14ac:dyDescent="0.3">
      <c r="A15" s="3" t="s">
        <v>14</v>
      </c>
      <c r="B15" s="3" t="s">
        <v>12</v>
      </c>
      <c r="C15" s="3" t="s">
        <v>13</v>
      </c>
    </row>
    <row r="16" spans="1:6" x14ac:dyDescent="0.3">
      <c r="A16" t="s">
        <v>15</v>
      </c>
      <c r="B16">
        <v>52947</v>
      </c>
      <c r="C16">
        <v>131506</v>
      </c>
    </row>
    <row r="17" spans="1:3" x14ac:dyDescent="0.3">
      <c r="A17" t="s">
        <v>16</v>
      </c>
      <c r="B17">
        <v>11.1</v>
      </c>
      <c r="C17">
        <v>31.6</v>
      </c>
    </row>
    <row r="18" spans="1:3" x14ac:dyDescent="0.3">
      <c r="A18" t="s">
        <v>17</v>
      </c>
      <c r="B18">
        <v>93.6</v>
      </c>
      <c r="C18">
        <v>144.19999999999999</v>
      </c>
    </row>
    <row r="19" spans="1:3" x14ac:dyDescent="0.3">
      <c r="A19" t="s">
        <v>18</v>
      </c>
      <c r="B19">
        <v>80.040000000000006</v>
      </c>
      <c r="C19">
        <v>70.290000000000006</v>
      </c>
    </row>
    <row r="20" spans="1:3" x14ac:dyDescent="0.3">
      <c r="A20" t="s">
        <v>19</v>
      </c>
      <c r="B20">
        <v>2.87</v>
      </c>
      <c r="C20">
        <v>2.95</v>
      </c>
    </row>
    <row r="21" spans="1:3" x14ac:dyDescent="0.3">
      <c r="A21" t="s">
        <v>20</v>
      </c>
      <c r="B21">
        <v>16.5</v>
      </c>
      <c r="C21">
        <v>15.7</v>
      </c>
    </row>
    <row r="23" spans="1:3" s="1" customFormat="1" x14ac:dyDescent="0.3">
      <c r="A23" s="4" t="s">
        <v>21</v>
      </c>
      <c r="B23" s="4" t="s">
        <v>12</v>
      </c>
      <c r="C23" s="4" t="s">
        <v>13</v>
      </c>
    </row>
    <row r="24" spans="1:3" x14ac:dyDescent="0.3">
      <c r="A24" t="s">
        <v>22</v>
      </c>
      <c r="B24" s="5">
        <f>B2-(B3+B4+B5+B6)</f>
        <v>352.4</v>
      </c>
      <c r="C24">
        <f>C2-(C3+C4+C5+C6)</f>
        <v>904.59999999999991</v>
      </c>
    </row>
    <row r="25" spans="1:3" x14ac:dyDescent="0.3">
      <c r="A25" t="s">
        <v>23</v>
      </c>
      <c r="B25" s="6">
        <f>B24/B2</f>
        <v>0.31571402974377349</v>
      </c>
      <c r="C25" s="6">
        <f>C24/C2</f>
        <v>0.33185369969551337</v>
      </c>
    </row>
    <row r="26" spans="1:3" x14ac:dyDescent="0.3">
      <c r="A26" t="s">
        <v>24</v>
      </c>
      <c r="B26">
        <f>B13+B12+B10+B5</f>
        <v>520.29999999999995</v>
      </c>
      <c r="C26">
        <f>C13+C12+C10+C5</f>
        <v>1224.5</v>
      </c>
    </row>
    <row r="27" spans="1:3" x14ac:dyDescent="0.3">
      <c r="A27" t="s">
        <v>25</v>
      </c>
      <c r="B27" s="6">
        <f>B26/B2</f>
        <v>0.4661351012363375</v>
      </c>
      <c r="C27" s="6">
        <f>C26/C2</f>
        <v>0.44920943541582598</v>
      </c>
    </row>
    <row r="28" spans="1:3" x14ac:dyDescent="0.3">
      <c r="A28" t="s">
        <v>26</v>
      </c>
      <c r="B28" s="6">
        <f>B13/B2</f>
        <v>0.12587349937287223</v>
      </c>
      <c r="C28" s="6">
        <f>C13/C2</f>
        <v>5.8366044242268607E-2</v>
      </c>
    </row>
    <row r="29" spans="1:3" x14ac:dyDescent="0.3">
      <c r="A29" t="s">
        <v>27</v>
      </c>
      <c r="B29" s="6">
        <f>B12/(B13+B12)</f>
        <v>0.47319085114360709</v>
      </c>
      <c r="C29" s="6">
        <f>C12/(C13+C12)</f>
        <v>0.68045792327776666</v>
      </c>
    </row>
    <row r="30" spans="1:3" x14ac:dyDescent="0.3">
      <c r="A30" t="s">
        <v>28</v>
      </c>
      <c r="B30" s="5">
        <f>(B2*1000000)/(B16*365)</f>
        <v>57.757421417281847</v>
      </c>
      <c r="C30" s="5">
        <f>(C2*1000000)/(C16*365)</f>
        <v>56.789950101761072</v>
      </c>
    </row>
    <row r="31" spans="1:3" x14ac:dyDescent="0.3">
      <c r="A31" t="s">
        <v>29</v>
      </c>
      <c r="B31" s="5">
        <f>((B3+B4+B5+B6)*1000000)/(B16*365)</f>
        <v>39.522593154022474</v>
      </c>
      <c r="C31" s="5">
        <f>((C3+C4+C5+C6)*1000000)/(C16*365)</f>
        <v>37.94399505496807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3481-3ED2-431A-9AAB-1E6D37AE079F}">
  <dimension ref="A1:G21"/>
  <sheetViews>
    <sheetView tabSelected="1" workbookViewId="0">
      <selection activeCell="E17" sqref="E17"/>
    </sheetView>
  </sheetViews>
  <sheetFormatPr defaultRowHeight="14.4" x14ac:dyDescent="0.3"/>
  <cols>
    <col min="1" max="1" width="20.109375" bestFit="1" customWidth="1"/>
    <col min="2" max="3" width="10.109375" bestFit="1" customWidth="1"/>
    <col min="4" max="4" width="9.88671875" bestFit="1" customWidth="1"/>
    <col min="6" max="6" width="20.109375" bestFit="1" customWidth="1"/>
  </cols>
  <sheetData>
    <row r="1" spans="1:7" s="1" customFormat="1" x14ac:dyDescent="0.3">
      <c r="A1" s="1" t="s">
        <v>30</v>
      </c>
      <c r="B1" s="1" t="s">
        <v>31</v>
      </c>
      <c r="C1" s="1" t="s">
        <v>32</v>
      </c>
      <c r="D1" s="1" t="s">
        <v>33</v>
      </c>
      <c r="F1" s="1" t="s">
        <v>30</v>
      </c>
      <c r="G1" s="1" t="s">
        <v>33</v>
      </c>
    </row>
    <row r="2" spans="1:7" x14ac:dyDescent="0.3">
      <c r="A2" s="7" t="s">
        <v>1</v>
      </c>
      <c r="B2">
        <f>Raw_Data!B2</f>
        <v>1116.2</v>
      </c>
      <c r="C2">
        <f>Raw_Data!C2</f>
        <v>2725.9</v>
      </c>
      <c r="D2">
        <f>C2-B2</f>
        <v>1609.7</v>
      </c>
      <c r="F2" t="s">
        <v>43</v>
      </c>
      <c r="G2">
        <f>D2</f>
        <v>1609.7</v>
      </c>
    </row>
    <row r="3" spans="1:7" x14ac:dyDescent="0.3">
      <c r="A3" t="s">
        <v>34</v>
      </c>
      <c r="B3">
        <f>Raw_Data!B3</f>
        <v>412.4</v>
      </c>
      <c r="C3">
        <f>Raw_Data!C3</f>
        <v>752.6</v>
      </c>
      <c r="D3">
        <f t="shared" ref="D3:D15" si="0">C3-B3</f>
        <v>340.20000000000005</v>
      </c>
      <c r="F3" t="s">
        <v>44</v>
      </c>
      <c r="G3">
        <f>D3</f>
        <v>340.20000000000005</v>
      </c>
    </row>
    <row r="4" spans="1:7" x14ac:dyDescent="0.3">
      <c r="A4" t="s">
        <v>3</v>
      </c>
      <c r="B4">
        <f>Raw_Data!B4</f>
        <v>146</v>
      </c>
      <c r="C4">
        <f>Raw_Data!C4</f>
        <v>475.3</v>
      </c>
      <c r="D4">
        <f t="shared" si="0"/>
        <v>329.3</v>
      </c>
      <c r="F4" t="s">
        <v>3</v>
      </c>
      <c r="G4">
        <f>D4</f>
        <v>329.3</v>
      </c>
    </row>
    <row r="5" spans="1:7" x14ac:dyDescent="0.3">
      <c r="A5" t="s">
        <v>35</v>
      </c>
      <c r="B5">
        <f>Raw_Data!B5</f>
        <v>193.8</v>
      </c>
      <c r="C5">
        <f>Raw_Data!C5</f>
        <v>549.20000000000005</v>
      </c>
      <c r="D5">
        <f t="shared" si="0"/>
        <v>355.40000000000003</v>
      </c>
      <c r="F5" t="s">
        <v>35</v>
      </c>
      <c r="G5">
        <f>D5</f>
        <v>355.40000000000003</v>
      </c>
    </row>
    <row r="6" spans="1:7" x14ac:dyDescent="0.3">
      <c r="A6" t="s">
        <v>5</v>
      </c>
      <c r="B6">
        <f>Raw_Data!B6</f>
        <v>11.6</v>
      </c>
      <c r="C6">
        <f>Raw_Data!C6</f>
        <v>44.2</v>
      </c>
      <c r="D6">
        <f t="shared" si="0"/>
        <v>32.6</v>
      </c>
      <c r="F6" t="s">
        <v>5</v>
      </c>
      <c r="G6">
        <f>D6</f>
        <v>32.6</v>
      </c>
    </row>
    <row r="7" spans="1:7" x14ac:dyDescent="0.3">
      <c r="A7" s="8" t="s">
        <v>22</v>
      </c>
      <c r="B7">
        <f>Raw_Data!B24</f>
        <v>352.4</v>
      </c>
      <c r="C7">
        <f>Raw_Data!C24</f>
        <v>904.59999999999991</v>
      </c>
      <c r="D7">
        <f t="shared" si="0"/>
        <v>552.19999999999993</v>
      </c>
      <c r="F7" t="s">
        <v>6</v>
      </c>
      <c r="G7">
        <f>D8</f>
        <v>103.80000000000001</v>
      </c>
    </row>
    <row r="8" spans="1:7" x14ac:dyDescent="0.3">
      <c r="A8" t="s">
        <v>36</v>
      </c>
      <c r="B8">
        <f>Raw_Data!B7</f>
        <v>145.69999999999999</v>
      </c>
      <c r="C8">
        <f>Raw_Data!C7</f>
        <v>249.5</v>
      </c>
      <c r="D8">
        <f t="shared" si="0"/>
        <v>103.80000000000001</v>
      </c>
      <c r="F8" t="s">
        <v>37</v>
      </c>
      <c r="G8">
        <f>D9</f>
        <v>19.399999999999999</v>
      </c>
    </row>
    <row r="9" spans="1:7" x14ac:dyDescent="0.3">
      <c r="A9" t="s">
        <v>37</v>
      </c>
      <c r="B9">
        <f>Raw_Data!B8</f>
        <v>17.899999999999999</v>
      </c>
      <c r="C9">
        <f>Raw_Data!C8</f>
        <v>37.299999999999997</v>
      </c>
      <c r="D9">
        <f t="shared" si="0"/>
        <v>19.399999999999999</v>
      </c>
      <c r="F9" t="s">
        <v>8</v>
      </c>
      <c r="G9">
        <f>D10</f>
        <v>20.399999999999999</v>
      </c>
    </row>
    <row r="10" spans="1:7" x14ac:dyDescent="0.3">
      <c r="A10" t="s">
        <v>8</v>
      </c>
      <c r="B10">
        <f>Raw_Data!B9</f>
        <v>37.1</v>
      </c>
      <c r="C10">
        <f>Raw_Data!C9</f>
        <v>57.5</v>
      </c>
      <c r="D10">
        <f t="shared" si="0"/>
        <v>20.399999999999999</v>
      </c>
      <c r="F10" t="s">
        <v>9</v>
      </c>
      <c r="G10">
        <f>D12</f>
        <v>117.60000000000001</v>
      </c>
    </row>
    <row r="11" spans="1:7" x14ac:dyDescent="0.3">
      <c r="A11" s="8" t="s">
        <v>38</v>
      </c>
      <c r="B11">
        <f>Raw_Data!B2-Raw_Data!B3-Raw_Data!B4-Raw_Data!B5-Raw_Data!B6-Raw_Data!B7-Raw_Data!B8+Raw_Data!B9+Raw_Data!B11</f>
        <v>326.30000000000007</v>
      </c>
      <c r="C11">
        <f>Raw_Data!C2-Raw_Data!C3-Raw_Data!C4-Raw_Data!C5-Raw_Data!C6-Raw_Data!C7-Raw_Data!C8+Raw_Data!C9</f>
        <v>675.30000000000018</v>
      </c>
      <c r="D11">
        <f t="shared" si="0"/>
        <v>349.00000000000011</v>
      </c>
      <c r="F11" t="s">
        <v>40</v>
      </c>
      <c r="G11">
        <f>D14</f>
        <v>212.60000000000002</v>
      </c>
    </row>
    <row r="12" spans="1:7" x14ac:dyDescent="0.3">
      <c r="A12" t="s">
        <v>9</v>
      </c>
      <c r="B12">
        <f>Raw_Data!B10</f>
        <v>59.8</v>
      </c>
      <c r="C12">
        <f>Raw_Data!C10</f>
        <v>177.4</v>
      </c>
      <c r="D12">
        <f t="shared" si="0"/>
        <v>117.60000000000001</v>
      </c>
      <c r="F12" t="s">
        <v>45</v>
      </c>
      <c r="G12">
        <f>D15</f>
        <v>18.599999999999994</v>
      </c>
    </row>
    <row r="13" spans="1:7" x14ac:dyDescent="0.3">
      <c r="A13" s="8" t="s">
        <v>39</v>
      </c>
      <c r="B13">
        <f>B11-B12</f>
        <v>266.50000000000006</v>
      </c>
      <c r="C13">
        <f>C11-C12</f>
        <v>497.9000000000002</v>
      </c>
      <c r="D13">
        <f t="shared" si="0"/>
        <v>231.40000000000015</v>
      </c>
    </row>
    <row r="14" spans="1:7" x14ac:dyDescent="0.3">
      <c r="A14" t="s">
        <v>40</v>
      </c>
      <c r="B14">
        <f>Raw_Data!B12</f>
        <v>126.2</v>
      </c>
      <c r="C14">
        <f>Raw_Data!C12</f>
        <v>338.8</v>
      </c>
      <c r="D14">
        <f t="shared" si="0"/>
        <v>212.60000000000002</v>
      </c>
    </row>
    <row r="15" spans="1:7" x14ac:dyDescent="0.3">
      <c r="A15" t="s">
        <v>11</v>
      </c>
      <c r="B15">
        <f>Raw_Data!B13</f>
        <v>140.5</v>
      </c>
      <c r="C15">
        <f>Raw_Data!C13</f>
        <v>159.1</v>
      </c>
      <c r="D15">
        <f t="shared" si="0"/>
        <v>18.599999999999994</v>
      </c>
    </row>
    <row r="16" spans="1:7" x14ac:dyDescent="0.3">
      <c r="A16" t="s">
        <v>41</v>
      </c>
      <c r="B16">
        <f>Raw_Data!B11</f>
        <v>100.4</v>
      </c>
      <c r="C16">
        <f>Raw_Data!C11</f>
        <v>0</v>
      </c>
      <c r="D16">
        <f>C16-B16</f>
        <v>-100.4</v>
      </c>
    </row>
    <row r="21" spans="1:3" x14ac:dyDescent="0.3">
      <c r="A21" t="s">
        <v>42</v>
      </c>
      <c r="B21" s="6">
        <f>B11/B2</f>
        <v>0.29233112345457807</v>
      </c>
      <c r="C21" s="6">
        <f>C11/C2</f>
        <v>0.24773469312887492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56A2-0CB0-4E72-9890-D2237A1D2A27}">
  <dimension ref="A1:Q34"/>
  <sheetViews>
    <sheetView workbookViewId="0">
      <selection activeCell="K5" sqref="K5"/>
    </sheetView>
  </sheetViews>
  <sheetFormatPr defaultRowHeight="14.4" x14ac:dyDescent="0.3"/>
  <cols>
    <col min="1" max="1" width="28.6640625" bestFit="1" customWidth="1"/>
    <col min="9" max="9" width="10.6640625" bestFit="1" customWidth="1"/>
    <col min="11" max="11" width="41.5546875" customWidth="1"/>
  </cols>
  <sheetData>
    <row r="1" spans="1:11" s="1" customFormat="1" x14ac:dyDescent="0.3">
      <c r="A1" s="1" t="s">
        <v>46</v>
      </c>
      <c r="B1" s="1" t="s">
        <v>47</v>
      </c>
    </row>
    <row r="2" spans="1:11" x14ac:dyDescent="0.3">
      <c r="A2" t="s">
        <v>48</v>
      </c>
      <c r="B2">
        <f>Raw_Data!C17</f>
        <v>31.6</v>
      </c>
      <c r="F2" s="13"/>
    </row>
    <row r="3" spans="1:11" x14ac:dyDescent="0.3">
      <c r="A3" t="s">
        <v>49</v>
      </c>
      <c r="B3">
        <f>Raw_Data!C18*Raw_Data!C20</f>
        <v>425.39</v>
      </c>
    </row>
    <row r="4" spans="1:11" x14ac:dyDescent="0.3">
      <c r="A4" t="s">
        <v>50</v>
      </c>
      <c r="B4" s="6">
        <f>Raw_Data!C4/Raw_Data!C2</f>
        <v>0.17436443009648189</v>
      </c>
    </row>
    <row r="5" spans="1:11" x14ac:dyDescent="0.3">
      <c r="A5" t="s">
        <v>51</v>
      </c>
      <c r="B5">
        <f>Raw_Data!C3</f>
        <v>752.6</v>
      </c>
    </row>
    <row r="6" spans="1:11" x14ac:dyDescent="0.3">
      <c r="A6" t="s">
        <v>52</v>
      </c>
      <c r="B6">
        <f>Raw_Data!C5</f>
        <v>549.20000000000005</v>
      </c>
    </row>
    <row r="7" spans="1:11" x14ac:dyDescent="0.3">
      <c r="A7" t="s">
        <v>53</v>
      </c>
      <c r="B7">
        <f>Raw_Data!C6</f>
        <v>44.2</v>
      </c>
    </row>
    <row r="8" spans="1:11" x14ac:dyDescent="0.3">
      <c r="A8" t="s">
        <v>54</v>
      </c>
      <c r="B8">
        <f>Raw_Data!C7</f>
        <v>249.5</v>
      </c>
    </row>
    <row r="9" spans="1:11" x14ac:dyDescent="0.3">
      <c r="A9" t="s">
        <v>55</v>
      </c>
      <c r="B9">
        <f>Raw_Data!C9</f>
        <v>57.5</v>
      </c>
    </row>
    <row r="10" spans="1:11" x14ac:dyDescent="0.3">
      <c r="A10" t="s">
        <v>56</v>
      </c>
      <c r="B10">
        <f>Raw_Data!C10</f>
        <v>177.4</v>
      </c>
    </row>
    <row r="11" spans="1:11" x14ac:dyDescent="0.3">
      <c r="A11" t="s">
        <v>57</v>
      </c>
      <c r="B11" s="6">
        <f>Raw_Data!C29</f>
        <v>0.68045792327776666</v>
      </c>
    </row>
    <row r="12" spans="1:11" x14ac:dyDescent="0.3">
      <c r="A12" t="s">
        <v>73</v>
      </c>
      <c r="B12">
        <f>Raw_Data!F6</f>
        <v>79.34599999999989</v>
      </c>
    </row>
    <row r="14" spans="1:11" ht="58.8" x14ac:dyDescent="0.4">
      <c r="A14" s="22" t="s">
        <v>30</v>
      </c>
      <c r="B14" s="9">
        <v>45</v>
      </c>
      <c r="C14" s="9">
        <v>55</v>
      </c>
      <c r="D14" s="9">
        <v>65</v>
      </c>
      <c r="E14" s="10">
        <v>70.290000000000006</v>
      </c>
      <c r="F14" s="9">
        <v>80</v>
      </c>
      <c r="G14" s="9">
        <v>90</v>
      </c>
      <c r="H14" s="20" t="s">
        <v>75</v>
      </c>
      <c r="I14" s="21">
        <v>49.8</v>
      </c>
    </row>
    <row r="15" spans="1:11" ht="18" x14ac:dyDescent="0.35">
      <c r="A15" s="1" t="s">
        <v>58</v>
      </c>
      <c r="B15" s="15">
        <v>45</v>
      </c>
      <c r="C15" s="15">
        <v>55</v>
      </c>
      <c r="D15" s="15">
        <v>65</v>
      </c>
      <c r="E15" s="15">
        <v>70.290000000000006</v>
      </c>
      <c r="F15" s="15">
        <v>80</v>
      </c>
      <c r="G15" s="15">
        <v>90</v>
      </c>
      <c r="H15" s="14">
        <v>49.8</v>
      </c>
      <c r="I15" s="15"/>
      <c r="K15" s="12"/>
    </row>
    <row r="16" spans="1:11" x14ac:dyDescent="0.3">
      <c r="A16" s="1" t="s">
        <v>59</v>
      </c>
      <c r="B16" s="13">
        <f>B15*$B$2</f>
        <v>1422</v>
      </c>
      <c r="C16" s="13">
        <f t="shared" ref="C16:H16" si="0">C15*$B$2</f>
        <v>1738</v>
      </c>
      <c r="D16" s="13">
        <f t="shared" si="0"/>
        <v>2054</v>
      </c>
      <c r="E16" s="13">
        <f t="shared" si="0"/>
        <v>2221.1640000000002</v>
      </c>
      <c r="F16" s="13">
        <f t="shared" si="0"/>
        <v>2528</v>
      </c>
      <c r="G16" s="13">
        <f t="shared" si="0"/>
        <v>2844</v>
      </c>
      <c r="H16" s="13">
        <f t="shared" si="0"/>
        <v>1573.68</v>
      </c>
    </row>
    <row r="17" spans="1:17" x14ac:dyDescent="0.3">
      <c r="A17" s="1" t="s">
        <v>60</v>
      </c>
      <c r="B17" s="13">
        <f>$B$3</f>
        <v>425.39</v>
      </c>
      <c r="C17" s="13">
        <f t="shared" ref="C17:H17" si="1">$B$3</f>
        <v>425.39</v>
      </c>
      <c r="D17" s="13">
        <f t="shared" si="1"/>
        <v>425.39</v>
      </c>
      <c r="E17" s="13">
        <f t="shared" si="1"/>
        <v>425.39</v>
      </c>
      <c r="F17" s="13">
        <f t="shared" si="1"/>
        <v>425.39</v>
      </c>
      <c r="G17" s="13">
        <f t="shared" si="1"/>
        <v>425.39</v>
      </c>
      <c r="H17" s="13">
        <f t="shared" si="1"/>
        <v>425.39</v>
      </c>
    </row>
    <row r="18" spans="1:17" x14ac:dyDescent="0.3">
      <c r="A18" s="4" t="s">
        <v>61</v>
      </c>
      <c r="B18" s="13">
        <f>B16+B17+$B$12</f>
        <v>1926.7359999999999</v>
      </c>
      <c r="C18" s="13">
        <f t="shared" ref="C18:H18" si="2">C16+C17+$B$12</f>
        <v>2242.7359999999999</v>
      </c>
      <c r="D18" s="13">
        <f t="shared" si="2"/>
        <v>2558.7359999999999</v>
      </c>
      <c r="E18" s="13">
        <f t="shared" si="2"/>
        <v>2725.9</v>
      </c>
      <c r="F18" s="13">
        <f t="shared" si="2"/>
        <v>3032.7359999999999</v>
      </c>
      <c r="G18" s="13">
        <f t="shared" si="2"/>
        <v>3348.7359999999999</v>
      </c>
      <c r="H18" s="13">
        <f t="shared" si="2"/>
        <v>2078.4160000000002</v>
      </c>
    </row>
    <row r="19" spans="1:17" x14ac:dyDescent="0.3">
      <c r="A19" s="1" t="s">
        <v>62</v>
      </c>
      <c r="B19" s="13">
        <f>B18*$B$4</f>
        <v>335.95422458637512</v>
      </c>
      <c r="C19" s="13">
        <f t="shared" ref="C19:H19" si="3">C18*$B$4</f>
        <v>391.05338449686337</v>
      </c>
      <c r="D19" s="13">
        <f t="shared" si="3"/>
        <v>446.15254440735168</v>
      </c>
      <c r="E19" s="13">
        <f t="shared" si="3"/>
        <v>475.3</v>
      </c>
      <c r="F19" s="13">
        <f t="shared" si="3"/>
        <v>528.80128427308409</v>
      </c>
      <c r="G19" s="13">
        <f t="shared" si="3"/>
        <v>583.9004441835724</v>
      </c>
      <c r="H19" s="13">
        <f t="shared" si="3"/>
        <v>362.40182134340955</v>
      </c>
    </row>
    <row r="20" spans="1:17" x14ac:dyDescent="0.3">
      <c r="A20" s="1" t="s">
        <v>63</v>
      </c>
      <c r="B20" s="13">
        <f>$B$5</f>
        <v>752.6</v>
      </c>
      <c r="C20" s="13">
        <f t="shared" ref="C20:H20" si="4">$B$5</f>
        <v>752.6</v>
      </c>
      <c r="D20" s="13">
        <f t="shared" si="4"/>
        <v>752.6</v>
      </c>
      <c r="E20" s="13">
        <f t="shared" si="4"/>
        <v>752.6</v>
      </c>
      <c r="F20" s="13">
        <f t="shared" si="4"/>
        <v>752.6</v>
      </c>
      <c r="G20" s="13">
        <f t="shared" si="4"/>
        <v>752.6</v>
      </c>
      <c r="H20" s="13">
        <f t="shared" si="4"/>
        <v>752.6</v>
      </c>
    </row>
    <row r="21" spans="1:17" x14ac:dyDescent="0.3">
      <c r="A21" s="1" t="s">
        <v>64</v>
      </c>
      <c r="B21" s="13">
        <f>$B$6</f>
        <v>549.20000000000005</v>
      </c>
      <c r="C21" s="13">
        <f t="shared" ref="C21:H21" si="5">$B$6</f>
        <v>549.20000000000005</v>
      </c>
      <c r="D21" s="13">
        <f t="shared" si="5"/>
        <v>549.20000000000005</v>
      </c>
      <c r="E21" s="13">
        <f t="shared" si="5"/>
        <v>549.20000000000005</v>
      </c>
      <c r="F21" s="13">
        <f t="shared" si="5"/>
        <v>549.20000000000005</v>
      </c>
      <c r="G21" s="13">
        <f t="shared" si="5"/>
        <v>549.20000000000005</v>
      </c>
      <c r="H21" s="13">
        <f t="shared" si="5"/>
        <v>549.20000000000005</v>
      </c>
    </row>
    <row r="22" spans="1:17" x14ac:dyDescent="0.3">
      <c r="A22" s="1" t="s">
        <v>65</v>
      </c>
      <c r="B22" s="13">
        <f>$B$7</f>
        <v>44.2</v>
      </c>
      <c r="C22" s="13">
        <f t="shared" ref="C22:H22" si="6">$B$7</f>
        <v>44.2</v>
      </c>
      <c r="D22" s="13">
        <f t="shared" si="6"/>
        <v>44.2</v>
      </c>
      <c r="E22" s="13">
        <f t="shared" si="6"/>
        <v>44.2</v>
      </c>
      <c r="F22" s="13">
        <f t="shared" si="6"/>
        <v>44.2</v>
      </c>
      <c r="G22" s="13">
        <f t="shared" si="6"/>
        <v>44.2</v>
      </c>
      <c r="H22" s="13">
        <f t="shared" si="6"/>
        <v>44.2</v>
      </c>
    </row>
    <row r="23" spans="1:17" x14ac:dyDescent="0.3">
      <c r="A23" s="1" t="s">
        <v>66</v>
      </c>
      <c r="B23" s="13">
        <f>$B$8</f>
        <v>249.5</v>
      </c>
      <c r="C23" s="13">
        <f t="shared" ref="C23:H23" si="7">$B$8</f>
        <v>249.5</v>
      </c>
      <c r="D23" s="13">
        <f t="shared" si="7"/>
        <v>249.5</v>
      </c>
      <c r="E23" s="13">
        <f t="shared" si="7"/>
        <v>249.5</v>
      </c>
      <c r="F23" s="13">
        <f t="shared" si="7"/>
        <v>249.5</v>
      </c>
      <c r="G23" s="13">
        <f t="shared" si="7"/>
        <v>249.5</v>
      </c>
      <c r="H23" s="13">
        <f t="shared" si="7"/>
        <v>249.5</v>
      </c>
    </row>
    <row r="24" spans="1:17" x14ac:dyDescent="0.3">
      <c r="A24" s="1" t="s">
        <v>67</v>
      </c>
      <c r="B24" s="13">
        <f>$B$9</f>
        <v>57.5</v>
      </c>
      <c r="C24" s="13">
        <f t="shared" ref="C24:H24" si="8">$B$9</f>
        <v>57.5</v>
      </c>
      <c r="D24" s="13">
        <f t="shared" si="8"/>
        <v>57.5</v>
      </c>
      <c r="E24" s="13">
        <f t="shared" si="8"/>
        <v>57.5</v>
      </c>
      <c r="F24" s="13">
        <f t="shared" si="8"/>
        <v>57.5</v>
      </c>
      <c r="G24" s="13">
        <f t="shared" si="8"/>
        <v>57.5</v>
      </c>
      <c r="H24" s="13">
        <f t="shared" si="8"/>
        <v>57.5</v>
      </c>
    </row>
    <row r="25" spans="1:17" x14ac:dyDescent="0.3">
      <c r="A25" s="1" t="s">
        <v>68</v>
      </c>
      <c r="B25" s="13">
        <f>$B$10</f>
        <v>177.4</v>
      </c>
      <c r="C25" s="13">
        <f t="shared" ref="C25:H25" si="9">$B$10</f>
        <v>177.4</v>
      </c>
      <c r="D25" s="13">
        <f t="shared" si="9"/>
        <v>177.4</v>
      </c>
      <c r="E25" s="13">
        <f t="shared" si="9"/>
        <v>177.4</v>
      </c>
      <c r="F25" s="13">
        <f t="shared" si="9"/>
        <v>177.4</v>
      </c>
      <c r="G25" s="13">
        <f t="shared" si="9"/>
        <v>177.4</v>
      </c>
      <c r="H25" s="13">
        <f t="shared" si="9"/>
        <v>177.4</v>
      </c>
    </row>
    <row r="26" spans="1:17" x14ac:dyDescent="0.3">
      <c r="A26" s="4" t="s">
        <v>69</v>
      </c>
      <c r="B26" s="13">
        <f>B18-B19-B20-B21-B22-B23+B24-$B$25</f>
        <v>-124.61822458637536</v>
      </c>
      <c r="C26" s="13">
        <f t="shared" ref="C26:H26" si="10">C18-C19-C20-C21-C22-C23+C24-$B$25</f>
        <v>136.28261550313633</v>
      </c>
      <c r="D26" s="13">
        <f t="shared" si="10"/>
        <v>397.1834555926481</v>
      </c>
      <c r="E26" s="13">
        <f t="shared" si="10"/>
        <v>535.19999999999993</v>
      </c>
      <c r="F26" s="13">
        <f t="shared" si="10"/>
        <v>788.53471572691581</v>
      </c>
      <c r="G26" s="13">
        <f t="shared" si="10"/>
        <v>1049.4355558164275</v>
      </c>
      <c r="H26" s="13">
        <f t="shared" si="10"/>
        <v>0.61417865659043969</v>
      </c>
    </row>
    <row r="27" spans="1:17" x14ac:dyDescent="0.3">
      <c r="A27" s="1" t="s">
        <v>70</v>
      </c>
      <c r="B27" s="13">
        <f>B26*$B$11</f>
        <v>-84.797458304607304</v>
      </c>
      <c r="C27" s="13">
        <f t="shared" ref="C27:H27" si="11">C26*$B$11</f>
        <v>92.734585524126516</v>
      </c>
      <c r="D27" s="13">
        <f t="shared" si="11"/>
        <v>270.26662935286038</v>
      </c>
      <c r="E27" s="13">
        <f t="shared" si="11"/>
        <v>364.18108053826069</v>
      </c>
      <c r="F27" s="13">
        <f t="shared" si="11"/>
        <v>536.56469509596127</v>
      </c>
      <c r="G27" s="13">
        <f t="shared" si="11"/>
        <v>714.09673892469505</v>
      </c>
      <c r="H27" s="13">
        <f t="shared" si="11"/>
        <v>0.41792273318505918</v>
      </c>
    </row>
    <row r="28" spans="1:17" ht="18" x14ac:dyDescent="0.35">
      <c r="A28" s="16" t="s">
        <v>71</v>
      </c>
      <c r="B28" s="17">
        <f>B26-B$27</f>
        <v>-39.820766281768059</v>
      </c>
      <c r="C28" s="17">
        <f t="shared" ref="C28:H28" si="12">C26-C$27</f>
        <v>43.548029979009812</v>
      </c>
      <c r="D28" s="17">
        <f t="shared" si="12"/>
        <v>126.91682623978772</v>
      </c>
      <c r="E28" s="17">
        <f t="shared" si="12"/>
        <v>171.01891946173924</v>
      </c>
      <c r="F28" s="17">
        <f t="shared" si="12"/>
        <v>251.97002063095454</v>
      </c>
      <c r="G28" s="17">
        <f t="shared" si="12"/>
        <v>335.33881689173245</v>
      </c>
      <c r="H28" s="17">
        <f t="shared" si="12"/>
        <v>0.19625592340538051</v>
      </c>
    </row>
    <row r="32" spans="1:17" ht="288" x14ac:dyDescent="0.35">
      <c r="K32" s="11" t="s">
        <v>74</v>
      </c>
      <c r="N32" s="19" t="s">
        <v>77</v>
      </c>
      <c r="O32" s="18"/>
      <c r="P32" s="18"/>
      <c r="Q32" s="18"/>
    </row>
    <row r="34" spans="11:11" x14ac:dyDescent="0.3">
      <c r="K34" t="s">
        <v>76</v>
      </c>
    </row>
  </sheetData>
  <conditionalFormatting sqref="B28:H28">
    <cfRule type="cellIs" dxfId="2" priority="1" operator="greaterThan">
      <formula>0</formula>
    </cfRule>
    <cfRule type="cellIs" dxfId="1" priority="2" operator="lessThan">
      <formula>0</formula>
    </cfRule>
    <cfRule type="cellIs" dxfId="0" priority="3" operator="greaterThan">
      <formula>$E$19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Cost_Breakdown</vt:lpstr>
      <vt:lpstr>Sensitivity_Model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Marvellous Agbeje</dc:creator>
  <cp:lastModifiedBy>Marvellous Agbeje</cp:lastModifiedBy>
  <dcterms:created xsi:type="dcterms:W3CDTF">2026-06-17T11:49:07Z</dcterms:created>
  <dcterms:modified xsi:type="dcterms:W3CDTF">2026-06-22T00:47:04Z</dcterms:modified>
</cp:coreProperties>
</file>